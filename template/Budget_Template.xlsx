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Template" state="visible" r:id="rId4"/>
    <sheet sheetId="2" name="Budget" state="visible" r:id="rId5"/>
    <sheet sheetId="3" name="_Config" state="visible" r:id="rId6"/>
    <sheet sheetId="4" name="_ReadMe" state="visible" r:id="rId7"/>
  </sheets>
  <calcPr calcId="171027"/>
</workbook>
</file>

<file path=xl/sharedStrings.xml><?xml version="1.0" encoding="utf-8"?>
<sst xmlns="http://schemas.openxmlformats.org/spreadsheetml/2006/main" count="78" uniqueCount="49">
  <si>
    <t>Balance</t>
  </si>
  <si>
    <t>Account</t>
  </si>
  <si>
    <t>Start</t>
  </si>
  <si>
    <t>Sum of Usable</t>
  </si>
  <si>
    <t>Category</t>
  </si>
  <si>
    <t>Spent</t>
  </si>
  <si>
    <t>← year</t>
  </si>
  <si>
    <t>Food &amp; Drinks</t>
  </si>
  <si>
    <t>← quarter</t>
  </si>
  <si>
    <t>Coffee &amp; Tea</t>
  </si>
  <si>
    <t>Transportation</t>
  </si>
  <si>
    <t>Shopping</t>
  </si>
  <si>
    <t>Bills</t>
  </si>
  <si>
    <t>Subscriptions</t>
  </si>
  <si>
    <t>Health</t>
  </si>
  <si>
    <t>Entertainment</t>
  </si>
  <si>
    <t>Education</t>
  </si>
  <si>
    <t>Untracked</t>
  </si>
  <si>
    <t>Total</t>
  </si>
  <si>
    <t>Date</t>
  </si>
  <si>
    <t>Type</t>
  </si>
  <si>
    <t>Description</t>
  </si>
  <si>
    <t>Bank</t>
  </si>
  <si>
    <t>Cash</t>
  </si>
  <si>
    <t>E-Wallet</t>
  </si>
  <si>
    <t>Savings</t>
  </si>
  <si>
    <t>ID (bot)</t>
  </si>
  <si>
    <t>Monthly budget targets (the nightly digest flags categories at 90%+)</t>
  </si>
  <si>
    <t>Monthly target</t>
  </si>
  <si>
    <t>Code</t>
  </si>
  <si>
    <t>Account (row 18 header)</t>
  </si>
  <si>
    <t>Default (x)</t>
  </si>
  <si>
    <t>bal category (blank = Untracked)</t>
  </si>
  <si>
    <t>Also called (comma separated)</t>
  </si>
  <si>
    <t>Slip names (comma separated)</t>
  </si>
  <si>
    <t>b</t>
  </si>
  <si>
    <t>x</t>
  </si>
  <si>
    <t/>
  </si>
  <si>
    <t>k plus, kbank, scb, krungthai, bangkok bank, krungsri, ttb</t>
  </si>
  <si>
    <t>c</t>
  </si>
  <si>
    <t>e</t>
  </si>
  <si>
    <t>truemoney, line pay, shopeepay</t>
  </si>
  <si>
    <t>sv</t>
  </si>
  <si>
    <t>money-tracker-bot template</t>
  </si>
  <si>
    <t>1. Put your current balances in _Template E2:E11 (Start column) before your first message.</t>
  </si>
  <si>
    <t>2. Accounts: type names in _Template row 18 (E..N, max 10), and add a row in _Config with the same name and a short code.</t>
  </si>
  <si>
    <t>3. Categories: _Template P2:P51. Monthly targets: Budget B6:C25.</t>
  </si>
  <si>
    <t>4. The bot creates quarter tabs (e.g. 2026 Q4) from _Template on the first entry of each quarter.</t>
  </si>
  <si>
    <t>5. Do not rename _Template, Budget or _Config, and keep the row 18 headers and month rows (19, 101, 201).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</si>
</sst>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1"/>
  <sheetFormatPr defaultRowHeight="15" outlineLevelRow="0" outlineLevelCol="0" x14ac:dyDescent="55"/>
  <cols>
    <col min="1" max="1" width="12" customWidth="1"/>
    <col min="3" max="3" width="16" customWidth="1"/>
    <col min="4" max="4" width="24" customWidth="1"/>
    <col min="16" max="16" width="18" customWidth="1"/>
  </cols>
  <sheetData>
    <row r="1" spans="3:19" x14ac:dyDescent="0.25">
      <c r="C1" s="1" t="s">
        <v>0</v>
      </c>
      <c r="D1" s="1" t="s">
        <v>1</v>
      </c>
      <c r="E1" s="1" t="s">
        <v>2</v>
      </c>
      <c r="F1" s="1">
        <f>TEXT(DATE($R$1,($R$2-1)*3+1,1),"mmmm")</f>
      </c>
      <c r="G1" s="1">
        <f>TEXT(DATE($R$1,($R$2-1)*3+2,1),"mmmm")</f>
      </c>
      <c r="H1" s="1">
        <f>TEXT(DATE($R$1,($R$2-1)*3+3,1),"mmmm")</f>
      </c>
      <c r="K1" s="1" t="s">
        <v>3</v>
      </c>
      <c r="P1" s="1" t="s">
        <v>4</v>
      </c>
      <c r="Q1" s="1" t="s">
        <v>5</v>
      </c>
      <c r="R1">
        <v>2026</v>
      </c>
      <c r="S1" t="s">
        <v>6</v>
      </c>
    </row>
    <row r="2" spans="3:19" x14ac:dyDescent="0.25">
      <c r="C2">
        <f>IF($D2="","",SUM(E2:H2))</f>
      </c>
      <c r="D2">
        <f>IF(E$18="","",E$18)</f>
      </c>
      <c r="E2">
        <v>0</v>
      </c>
      <c r="F2">
        <f>IF($D2="","",SUMIFS(E$20:E$901,$A$20:$A$901,"&gt;="&amp;DATE($R$1,($R$2-1)*3+1,1),$A$20:$A$901,"&lt;"&amp;DATE($R$1,($R$2-1)*3+2,1)))</f>
      </c>
      <c r="G2">
        <f>IF($D2="","",SUMIFS(E$20:E$901,$A$20:$A$901,"&gt;="&amp;DATE($R$1,($R$2-1)*3+2,1),$A$20:$A$901,"&lt;"&amp;DATE($R$1,($R$2-1)*3+3,1)))</f>
      </c>
      <c r="H2">
        <f>IF($D2="","",SUMIFS(E$20:E$901,$A$20:$A$901,"&gt;="&amp;DATE($R$1,($R$2-1)*3+3,1),$A$20:$A$901,"&lt;"&amp;IF($R$2=4,DATE($R$1+1,1,1),DATE($R$1,$R$2*3+1,1))))</f>
      </c>
      <c r="K2">
        <f>SUM(C2,C3,C4)</f>
      </c>
      <c r="P2" t="s">
        <v>7</v>
      </c>
      <c r="Q2">
        <f>IF(P2="","",-(SUMIFS(E$20:E$901,$C$20:$C$901,P2,$B$20:$B$901,"Expense")+SUMIFS(F$20:F$901,$C$20:$C$901,P2,$B$20:$B$901,"Expense")+SUMIFS(G$20:G$901,$C$20:$C$901,P2,$B$20:$B$901,"Expense")+SUMIFS(H$20:H$901,$C$20:$C$901,P2,$B$20:$B$901,"Expense")+SUMIFS(I$20:I$901,$C$20:$C$901,P2,$B$20:$B$901,"Expense")+SUMIFS(J$20:J$901,$C$20:$C$901,P2,$B$20:$B$901,"Expense")+SUMIFS(K$20:K$901,$C$20:$C$901,P2,$B$20:$B$901,"Expense")+SUMIFS(L$20:L$901,$C$20:$C$901,P2,$B$20:$B$901,"Expense")+SUMIFS(M$20:M$901,$C$20:$C$901,P2,$B$20:$B$901,"Expense")+SUMIFS(N$20:N$901,$C$20:$C$901,P2,$B$20:$B$901,"Expense")))</f>
      </c>
      <c r="R2">
        <v>4</v>
      </c>
      <c r="S2" t="s">
        <v>8</v>
      </c>
    </row>
    <row r="3" spans="3:17" x14ac:dyDescent="0.25">
      <c r="C3">
        <f>IF($D3="","",SUM(E3:H3))</f>
      </c>
      <c r="D3">
        <f>IF(F$18="","",F$18)</f>
      </c>
      <c r="E3">
        <v>0</v>
      </c>
      <c r="F3">
        <f>IF($D3="","",SUMIFS(F$20:F$901,$A$20:$A$901,"&gt;="&amp;DATE($R$1,($R$2-1)*3+1,1),$A$20:$A$901,"&lt;"&amp;DATE($R$1,($R$2-1)*3+2,1)))</f>
      </c>
      <c r="G3">
        <f>IF($D3="","",SUMIFS(F$20:F$901,$A$20:$A$901,"&gt;="&amp;DATE($R$1,($R$2-1)*3+2,1),$A$20:$A$901,"&lt;"&amp;DATE($R$1,($R$2-1)*3+3,1)))</f>
      </c>
      <c r="H3">
        <f>IF($D3="","",SUMIFS(F$20:F$901,$A$20:$A$901,"&gt;="&amp;DATE($R$1,($R$2-1)*3+3,1),$A$20:$A$901,"&lt;"&amp;IF($R$2=4,DATE($R$1+1,1,1),DATE($R$1,$R$2*3+1,1))))</f>
      </c>
      <c r="P3" t="s">
        <v>9</v>
      </c>
      <c r="Q3">
        <f>IF(P3="","",-(SUMIFS(E$20:E$901,$C$20:$C$901,P3,$B$20:$B$901,"Expense")+SUMIFS(F$20:F$901,$C$20:$C$901,P3,$B$20:$B$901,"Expense")+SUMIFS(G$20:G$901,$C$20:$C$901,P3,$B$20:$B$901,"Expense")+SUMIFS(H$20:H$901,$C$20:$C$901,P3,$B$20:$B$901,"Expense")+SUMIFS(I$20:I$901,$C$20:$C$901,P3,$B$20:$B$901,"Expense")+SUMIFS(J$20:J$901,$C$20:$C$901,P3,$B$20:$B$901,"Expense")+SUMIFS(K$20:K$901,$C$20:$C$901,P3,$B$20:$B$901,"Expense")+SUMIFS(L$20:L$901,$C$20:$C$901,P3,$B$20:$B$901,"Expense")+SUMIFS(M$20:M$901,$C$20:$C$901,P3,$B$20:$B$901,"Expense")+SUMIFS(N$20:N$901,$C$20:$C$901,P3,$B$20:$B$901,"Expense")))</f>
      </c>
    </row>
    <row r="4" spans="3:17" x14ac:dyDescent="0.25">
      <c r="C4">
        <f>IF($D4="","",SUM(E4:H4))</f>
      </c>
      <c r="D4">
        <f>IF(G$18="","",G$18)</f>
      </c>
      <c r="E4">
        <v>0</v>
      </c>
      <c r="F4">
        <f>IF($D4="","",SUMIFS(G$20:G$901,$A$20:$A$901,"&gt;="&amp;DATE($R$1,($R$2-1)*3+1,1),$A$20:$A$901,"&lt;"&amp;DATE($R$1,($R$2-1)*3+2,1)))</f>
      </c>
      <c r="G4">
        <f>IF($D4="","",SUMIFS(G$20:G$901,$A$20:$A$901,"&gt;="&amp;DATE($R$1,($R$2-1)*3+2,1),$A$20:$A$901,"&lt;"&amp;DATE($R$1,($R$2-1)*3+3,1)))</f>
      </c>
      <c r="H4">
        <f>IF($D4="","",SUMIFS(G$20:G$901,$A$20:$A$901,"&gt;="&amp;DATE($R$1,($R$2-1)*3+3,1),$A$20:$A$901,"&lt;"&amp;IF($R$2=4,DATE($R$1+1,1,1),DATE($R$1,$R$2*3+1,1))))</f>
      </c>
      <c r="P4" t="s">
        <v>10</v>
      </c>
      <c r="Q4">
        <f>IF(P4="","",-(SUMIFS(E$20:E$901,$C$20:$C$901,P4,$B$20:$B$901,"Expense")+SUMIFS(F$20:F$901,$C$20:$C$901,P4,$B$20:$B$901,"Expense")+SUMIFS(G$20:G$901,$C$20:$C$901,P4,$B$20:$B$901,"Expense")+SUMIFS(H$20:H$901,$C$20:$C$901,P4,$B$20:$B$901,"Expense")+SUMIFS(I$20:I$901,$C$20:$C$901,P4,$B$20:$B$901,"Expense")+SUMIFS(J$20:J$901,$C$20:$C$901,P4,$B$20:$B$901,"Expense")+SUMIFS(K$20:K$901,$C$20:$C$901,P4,$B$20:$B$901,"Expense")+SUMIFS(L$20:L$901,$C$20:$C$901,P4,$B$20:$B$901,"Expense")+SUMIFS(M$20:M$901,$C$20:$C$901,P4,$B$20:$B$901,"Expense")+SUMIFS(N$20:N$901,$C$20:$C$901,P4,$B$20:$B$901,"Expense")))</f>
      </c>
    </row>
    <row r="5" spans="3:17" x14ac:dyDescent="0.25">
      <c r="C5">
        <f>IF($D5="","",SUM(E5:H5))</f>
      </c>
      <c r="D5">
        <f>IF(H$18="","",H$18)</f>
      </c>
      <c r="E5">
        <v>0</v>
      </c>
      <c r="F5">
        <f>IF($D5="","",SUMIFS(H$20:H$901,$A$20:$A$901,"&gt;="&amp;DATE($R$1,($R$2-1)*3+1,1),$A$20:$A$901,"&lt;"&amp;DATE($R$1,($R$2-1)*3+2,1)))</f>
      </c>
      <c r="G5">
        <f>IF($D5="","",SUMIFS(H$20:H$901,$A$20:$A$901,"&gt;="&amp;DATE($R$1,($R$2-1)*3+2,1),$A$20:$A$901,"&lt;"&amp;DATE($R$1,($R$2-1)*3+3,1)))</f>
      </c>
      <c r="H5">
        <f>IF($D5="","",SUMIFS(H$20:H$901,$A$20:$A$901,"&gt;="&amp;DATE($R$1,($R$2-1)*3+3,1),$A$20:$A$901,"&lt;"&amp;IF($R$2=4,DATE($R$1+1,1,1),DATE($R$1,$R$2*3+1,1))))</f>
      </c>
      <c r="P5" t="s">
        <v>11</v>
      </c>
      <c r="Q5">
        <f>IF(P5="","",-(SUMIFS(E$20:E$901,$C$20:$C$901,P5,$B$20:$B$901,"Expense")+SUMIFS(F$20:F$901,$C$20:$C$901,P5,$B$20:$B$901,"Expense")+SUMIFS(G$20:G$901,$C$20:$C$901,P5,$B$20:$B$901,"Expense")+SUMIFS(H$20:H$901,$C$20:$C$901,P5,$B$20:$B$901,"Expense")+SUMIFS(I$20:I$901,$C$20:$C$901,P5,$B$20:$B$901,"Expense")+SUMIFS(J$20:J$901,$C$20:$C$901,P5,$B$20:$B$901,"Expense")+SUMIFS(K$20:K$901,$C$20:$C$901,P5,$B$20:$B$901,"Expense")+SUMIFS(L$20:L$901,$C$20:$C$901,P5,$B$20:$B$901,"Expense")+SUMIFS(M$20:M$901,$C$20:$C$901,P5,$B$20:$B$901,"Expense")+SUMIFS(N$20:N$901,$C$20:$C$901,P5,$B$20:$B$901,"Expense")))</f>
      </c>
    </row>
    <row r="6" spans="3:17" x14ac:dyDescent="0.25">
      <c r="C6">
        <f>IF($D6="","",SUM(E6:H6))</f>
      </c>
      <c r="D6">
        <f>IF(I$18="","",I$18)</f>
      </c>
      <c r="E6">
        <v>0</v>
      </c>
      <c r="F6">
        <f>IF($D6="","",SUMIFS(I$20:I$901,$A$20:$A$901,"&gt;="&amp;DATE($R$1,($R$2-1)*3+1,1),$A$20:$A$901,"&lt;"&amp;DATE($R$1,($R$2-1)*3+2,1)))</f>
      </c>
      <c r="G6">
        <f>IF($D6="","",SUMIFS(I$20:I$901,$A$20:$A$901,"&gt;="&amp;DATE($R$1,($R$2-1)*3+2,1),$A$20:$A$901,"&lt;"&amp;DATE($R$1,($R$2-1)*3+3,1)))</f>
      </c>
      <c r="H6">
        <f>IF($D6="","",SUMIFS(I$20:I$901,$A$20:$A$901,"&gt;="&amp;DATE($R$1,($R$2-1)*3+3,1),$A$20:$A$901,"&lt;"&amp;IF($R$2=4,DATE($R$1+1,1,1),DATE($R$1,$R$2*3+1,1))))</f>
      </c>
      <c r="P6" t="s">
        <v>12</v>
      </c>
      <c r="Q6">
        <f>IF(P6="","",-(SUMIFS(E$20:E$901,$C$20:$C$901,P6,$B$20:$B$901,"Expense")+SUMIFS(F$20:F$901,$C$20:$C$901,P6,$B$20:$B$901,"Expense")+SUMIFS(G$20:G$901,$C$20:$C$901,P6,$B$20:$B$901,"Expense")+SUMIFS(H$20:H$901,$C$20:$C$901,P6,$B$20:$B$901,"Expense")+SUMIFS(I$20:I$901,$C$20:$C$901,P6,$B$20:$B$901,"Expense")+SUMIFS(J$20:J$901,$C$20:$C$901,P6,$B$20:$B$901,"Expense")+SUMIFS(K$20:K$901,$C$20:$C$901,P6,$B$20:$B$901,"Expense")+SUMIFS(L$20:L$901,$C$20:$C$901,P6,$B$20:$B$901,"Expense")+SUMIFS(M$20:M$901,$C$20:$C$901,P6,$B$20:$B$901,"Expense")+SUMIFS(N$20:N$901,$C$20:$C$901,P6,$B$20:$B$901,"Expense")))</f>
      </c>
    </row>
    <row r="7" spans="3:17" x14ac:dyDescent="0.25">
      <c r="C7">
        <f>IF($D7="","",SUM(E7:H7))</f>
      </c>
      <c r="D7">
        <f>IF(J$18="","",J$18)</f>
      </c>
      <c r="E7">
        <v>0</v>
      </c>
      <c r="F7">
        <f>IF($D7="","",SUMIFS(J$20:J$901,$A$20:$A$901,"&gt;="&amp;DATE($R$1,($R$2-1)*3+1,1),$A$20:$A$901,"&lt;"&amp;DATE($R$1,($R$2-1)*3+2,1)))</f>
      </c>
      <c r="G7">
        <f>IF($D7="","",SUMIFS(J$20:J$901,$A$20:$A$901,"&gt;="&amp;DATE($R$1,($R$2-1)*3+2,1),$A$20:$A$901,"&lt;"&amp;DATE($R$1,($R$2-1)*3+3,1)))</f>
      </c>
      <c r="H7">
        <f>IF($D7="","",SUMIFS(J$20:J$901,$A$20:$A$901,"&gt;="&amp;DATE($R$1,($R$2-1)*3+3,1),$A$20:$A$901,"&lt;"&amp;IF($R$2=4,DATE($R$1+1,1,1),DATE($R$1,$R$2*3+1,1))))</f>
      </c>
      <c r="P7" t="s">
        <v>13</v>
      </c>
      <c r="Q7">
        <f>IF(P7="","",-(SUMIFS(E$20:E$901,$C$20:$C$901,P7,$B$20:$B$901,"Expense")+SUMIFS(F$20:F$901,$C$20:$C$901,P7,$B$20:$B$901,"Expense")+SUMIFS(G$20:G$901,$C$20:$C$901,P7,$B$20:$B$901,"Expense")+SUMIFS(H$20:H$901,$C$20:$C$901,P7,$B$20:$B$901,"Expense")+SUMIFS(I$20:I$901,$C$20:$C$901,P7,$B$20:$B$901,"Expense")+SUMIFS(J$20:J$901,$C$20:$C$901,P7,$B$20:$B$901,"Expense")+SUMIFS(K$20:K$901,$C$20:$C$901,P7,$B$20:$B$901,"Expense")+SUMIFS(L$20:L$901,$C$20:$C$901,P7,$B$20:$B$901,"Expense")+SUMIFS(M$20:M$901,$C$20:$C$901,P7,$B$20:$B$901,"Expense")+SUMIFS(N$20:N$901,$C$20:$C$901,P7,$B$20:$B$901,"Expense")))</f>
      </c>
    </row>
    <row r="8" spans="3:17" x14ac:dyDescent="0.25">
      <c r="C8">
        <f>IF($D8="","",SUM(E8:H8))</f>
      </c>
      <c r="D8">
        <f>IF(K$18="","",K$18)</f>
      </c>
      <c r="E8">
        <v>0</v>
      </c>
      <c r="F8">
        <f>IF($D8="","",SUMIFS(K$20:K$901,$A$20:$A$901,"&gt;="&amp;DATE($R$1,($R$2-1)*3+1,1),$A$20:$A$901,"&lt;"&amp;DATE($R$1,($R$2-1)*3+2,1)))</f>
      </c>
      <c r="G8">
        <f>IF($D8="","",SUMIFS(K$20:K$901,$A$20:$A$901,"&gt;="&amp;DATE($R$1,($R$2-1)*3+2,1),$A$20:$A$901,"&lt;"&amp;DATE($R$1,($R$2-1)*3+3,1)))</f>
      </c>
      <c r="H8">
        <f>IF($D8="","",SUMIFS(K$20:K$901,$A$20:$A$901,"&gt;="&amp;DATE($R$1,($R$2-1)*3+3,1),$A$20:$A$901,"&lt;"&amp;IF($R$2=4,DATE($R$1+1,1,1),DATE($R$1,$R$2*3+1,1))))</f>
      </c>
      <c r="P8" t="s">
        <v>14</v>
      </c>
      <c r="Q8">
        <f>IF(P8="","",-(SUMIFS(E$20:E$901,$C$20:$C$901,P8,$B$20:$B$901,"Expense")+SUMIFS(F$20:F$901,$C$20:$C$901,P8,$B$20:$B$901,"Expense")+SUMIFS(G$20:G$901,$C$20:$C$901,P8,$B$20:$B$901,"Expense")+SUMIFS(H$20:H$901,$C$20:$C$901,P8,$B$20:$B$901,"Expense")+SUMIFS(I$20:I$901,$C$20:$C$901,P8,$B$20:$B$901,"Expense")+SUMIFS(J$20:J$901,$C$20:$C$901,P8,$B$20:$B$901,"Expense")+SUMIFS(K$20:K$901,$C$20:$C$901,P8,$B$20:$B$901,"Expense")+SUMIFS(L$20:L$901,$C$20:$C$901,P8,$B$20:$B$901,"Expense")+SUMIFS(M$20:M$901,$C$20:$C$901,P8,$B$20:$B$901,"Expense")+SUMIFS(N$20:N$901,$C$20:$C$901,P8,$B$20:$B$901,"Expense")))</f>
      </c>
    </row>
    <row r="9" spans="3:17" x14ac:dyDescent="0.25">
      <c r="C9">
        <f>IF($D9="","",SUM(E9:H9))</f>
      </c>
      <c r="D9">
        <f>IF(L$18="","",L$18)</f>
      </c>
      <c r="E9">
        <v>0</v>
      </c>
      <c r="F9">
        <f>IF($D9="","",SUMIFS(L$20:L$901,$A$20:$A$901,"&gt;="&amp;DATE($R$1,($R$2-1)*3+1,1),$A$20:$A$901,"&lt;"&amp;DATE($R$1,($R$2-1)*3+2,1)))</f>
      </c>
      <c r="G9">
        <f>IF($D9="","",SUMIFS(L$20:L$901,$A$20:$A$901,"&gt;="&amp;DATE($R$1,($R$2-1)*3+2,1),$A$20:$A$901,"&lt;"&amp;DATE($R$1,($R$2-1)*3+3,1)))</f>
      </c>
      <c r="H9">
        <f>IF($D9="","",SUMIFS(L$20:L$901,$A$20:$A$901,"&gt;="&amp;DATE($R$1,($R$2-1)*3+3,1),$A$20:$A$901,"&lt;"&amp;IF($R$2=4,DATE($R$1+1,1,1),DATE($R$1,$R$2*3+1,1))))</f>
      </c>
      <c r="P9" t="s">
        <v>15</v>
      </c>
      <c r="Q9">
        <f>IF(P9="","",-(SUMIFS(E$20:E$901,$C$20:$C$901,P9,$B$20:$B$901,"Expense")+SUMIFS(F$20:F$901,$C$20:$C$901,P9,$B$20:$B$901,"Expense")+SUMIFS(G$20:G$901,$C$20:$C$901,P9,$B$20:$B$901,"Expense")+SUMIFS(H$20:H$901,$C$20:$C$901,P9,$B$20:$B$901,"Expense")+SUMIFS(I$20:I$901,$C$20:$C$901,P9,$B$20:$B$901,"Expense")+SUMIFS(J$20:J$901,$C$20:$C$901,P9,$B$20:$B$901,"Expense")+SUMIFS(K$20:K$901,$C$20:$C$901,P9,$B$20:$B$901,"Expense")+SUMIFS(L$20:L$901,$C$20:$C$901,P9,$B$20:$B$901,"Expense")+SUMIFS(M$20:M$901,$C$20:$C$901,P9,$B$20:$B$901,"Expense")+SUMIFS(N$20:N$901,$C$20:$C$901,P9,$B$20:$B$901,"Expense")))</f>
      </c>
    </row>
    <row r="10" spans="3:17" x14ac:dyDescent="0.25">
      <c r="C10">
        <f>IF($D10="","",SUM(E10:H10))</f>
      </c>
      <c r="D10">
        <f>IF(M$18="","",M$18)</f>
      </c>
      <c r="E10">
        <v>0</v>
      </c>
      <c r="F10">
        <f>IF($D10="","",SUMIFS(M$20:M$901,$A$20:$A$901,"&gt;="&amp;DATE($R$1,($R$2-1)*3+1,1),$A$20:$A$901,"&lt;"&amp;DATE($R$1,($R$2-1)*3+2,1)))</f>
      </c>
      <c r="G10">
        <f>IF($D10="","",SUMIFS(M$20:M$901,$A$20:$A$901,"&gt;="&amp;DATE($R$1,($R$2-1)*3+2,1),$A$20:$A$901,"&lt;"&amp;DATE($R$1,($R$2-1)*3+3,1)))</f>
      </c>
      <c r="H10">
        <f>IF($D10="","",SUMIFS(M$20:M$901,$A$20:$A$901,"&gt;="&amp;DATE($R$1,($R$2-1)*3+3,1),$A$20:$A$901,"&lt;"&amp;IF($R$2=4,DATE($R$1+1,1,1),DATE($R$1,$R$2*3+1,1))))</f>
      </c>
      <c r="P10" t="s">
        <v>16</v>
      </c>
      <c r="Q10">
        <f>IF(P10="","",-(SUMIFS(E$20:E$901,$C$20:$C$901,P10,$B$20:$B$901,"Expense")+SUMIFS(F$20:F$901,$C$20:$C$901,P10,$B$20:$B$901,"Expense")+SUMIFS(G$20:G$901,$C$20:$C$901,P10,$B$20:$B$901,"Expense")+SUMIFS(H$20:H$901,$C$20:$C$901,P10,$B$20:$B$901,"Expense")+SUMIFS(I$20:I$901,$C$20:$C$901,P10,$B$20:$B$901,"Expense")+SUMIFS(J$20:J$901,$C$20:$C$901,P10,$B$20:$B$901,"Expense")+SUMIFS(K$20:K$901,$C$20:$C$901,P10,$B$20:$B$901,"Expense")+SUMIFS(L$20:L$901,$C$20:$C$901,P10,$B$20:$B$901,"Expense")+SUMIFS(M$20:M$901,$C$20:$C$901,P10,$B$20:$B$901,"Expense")+SUMIFS(N$20:N$901,$C$20:$C$901,P10,$B$20:$B$901,"Expense")))</f>
      </c>
    </row>
    <row r="11" spans="3:17" x14ac:dyDescent="0.25">
      <c r="C11">
        <f>IF($D11="","",SUM(E11:H11))</f>
      </c>
      <c r="D11">
        <f>IF(N$18="","",N$18)</f>
      </c>
      <c r="E11">
        <v>0</v>
      </c>
      <c r="F11">
        <f>IF($D11="","",SUMIFS(N$20:N$901,$A$20:$A$901,"&gt;="&amp;DATE($R$1,($R$2-1)*3+1,1),$A$20:$A$901,"&lt;"&amp;DATE($R$1,($R$2-1)*3+2,1)))</f>
      </c>
      <c r="G11">
        <f>IF($D11="","",SUMIFS(N$20:N$901,$A$20:$A$901,"&gt;="&amp;DATE($R$1,($R$2-1)*3+2,1),$A$20:$A$901,"&lt;"&amp;DATE($R$1,($R$2-1)*3+3,1)))</f>
      </c>
      <c r="H11">
        <f>IF($D11="","",SUMIFS(N$20:N$901,$A$20:$A$901,"&gt;="&amp;DATE($R$1,($R$2-1)*3+3,1),$A$20:$A$901,"&lt;"&amp;IF($R$2=4,DATE($R$1+1,1,1),DATE($R$1,$R$2*3+1,1))))</f>
      </c>
      <c r="P11" t="s">
        <v>17</v>
      </c>
      <c r="Q11">
        <f>IF(P11="","",-(SUMIFS(E$20:E$901,$C$20:$C$901,P11,$B$20:$B$901,"Expense")+SUMIFS(F$20:F$901,$C$20:$C$901,P11,$B$20:$B$901,"Expense")+SUMIFS(G$20:G$901,$C$20:$C$901,P11,$B$20:$B$901,"Expense")+SUMIFS(H$20:H$901,$C$20:$C$901,P11,$B$20:$B$901,"Expense")+SUMIFS(I$20:I$901,$C$20:$C$901,P11,$B$20:$B$901,"Expense")+SUMIFS(J$20:J$901,$C$20:$C$901,P11,$B$20:$B$901,"Expense")+SUMIFS(K$20:K$901,$C$20:$C$901,P11,$B$20:$B$901,"Expense")+SUMIFS(L$20:L$901,$C$20:$C$901,P11,$B$20:$B$901,"Expense")+SUMIFS(M$20:M$901,$C$20:$C$901,P11,$B$20:$B$901,"Expense")+SUMIFS(N$20:N$901,$C$20:$C$901,P11,$B$20:$B$901,"Expense")))</f>
      </c>
    </row>
    <row r="12" spans="17:17" x14ac:dyDescent="0.25">
      <c r="Q12">
        <f>IF(P12="","",-(SUMIFS(E$20:E$901,$C$20:$C$901,P12,$B$20:$B$901,"Expense")+SUMIFS(F$20:F$901,$C$20:$C$901,P12,$B$20:$B$901,"Expense")+SUMIFS(G$20:G$901,$C$20:$C$901,P12,$B$20:$B$901,"Expense")+SUMIFS(H$20:H$901,$C$20:$C$901,P12,$B$20:$B$901,"Expense")+SUMIFS(I$20:I$901,$C$20:$C$901,P12,$B$20:$B$901,"Expense")+SUMIFS(J$20:J$901,$C$20:$C$901,P12,$B$20:$B$901,"Expense")+SUMIFS(K$20:K$901,$C$20:$C$901,P12,$B$20:$B$901,"Expense")+SUMIFS(L$20:L$901,$C$20:$C$901,P12,$B$20:$B$901,"Expense")+SUMIFS(M$20:M$901,$C$20:$C$901,P12,$B$20:$B$901,"Expense")+SUMIFS(N$20:N$901,$C$20:$C$901,P12,$B$20:$B$901,"Expense")))</f>
      </c>
    </row>
    <row r="13" spans="3:17" x14ac:dyDescent="0.25">
      <c r="C13">
        <f>SUM(C2:C11)</f>
      </c>
      <c r="D13" s="1" t="s">
        <v>18</v>
      </c>
      <c r="E13">
        <f>SUM(E2:E11)</f>
      </c>
      <c r="F13">
        <f>SUM(F2:F11)</f>
      </c>
      <c r="G13">
        <f>SUM(G2:G11)</f>
      </c>
      <c r="H13">
        <f>SUM(H2:H11)</f>
      </c>
      <c r="Q13">
        <f>IF(P13="","",-(SUMIFS(E$20:E$901,$C$20:$C$901,P13,$B$20:$B$901,"Expense")+SUMIFS(F$20:F$901,$C$20:$C$901,P13,$B$20:$B$901,"Expense")+SUMIFS(G$20:G$901,$C$20:$C$901,P13,$B$20:$B$901,"Expense")+SUMIFS(H$20:H$901,$C$20:$C$901,P13,$B$20:$B$901,"Expense")+SUMIFS(I$20:I$901,$C$20:$C$901,P13,$B$20:$B$901,"Expense")+SUMIFS(J$20:J$901,$C$20:$C$901,P13,$B$20:$B$901,"Expense")+SUMIFS(K$20:K$901,$C$20:$C$901,P13,$B$20:$B$901,"Expense")+SUMIFS(L$20:L$901,$C$20:$C$901,P13,$B$20:$B$901,"Expense")+SUMIFS(M$20:M$901,$C$20:$C$901,P13,$B$20:$B$901,"Expense")+SUMIFS(N$20:N$901,$C$20:$C$901,P13,$B$20:$B$901,"Expense")))</f>
      </c>
    </row>
    <row r="14" spans="17:17" x14ac:dyDescent="0.25">
      <c r="Q14">
        <f>IF(P14="","",-(SUMIFS(E$20:E$901,$C$20:$C$901,P14,$B$20:$B$901,"Expense")+SUMIFS(F$20:F$901,$C$20:$C$901,P14,$B$20:$B$901,"Expense")+SUMIFS(G$20:G$901,$C$20:$C$901,P14,$B$20:$B$901,"Expense")+SUMIFS(H$20:H$901,$C$20:$C$901,P14,$B$20:$B$901,"Expense")+SUMIFS(I$20:I$901,$C$20:$C$901,P14,$B$20:$B$901,"Expense")+SUMIFS(J$20:J$901,$C$20:$C$901,P14,$B$20:$B$901,"Expense")+SUMIFS(K$20:K$901,$C$20:$C$901,P14,$B$20:$B$901,"Expense")+SUMIFS(L$20:L$901,$C$20:$C$901,P14,$B$20:$B$901,"Expense")+SUMIFS(M$20:M$901,$C$20:$C$901,P14,$B$20:$B$901,"Expense")+SUMIFS(N$20:N$901,$C$20:$C$901,P14,$B$20:$B$901,"Expense")))</f>
      </c>
    </row>
    <row r="15" spans="17:17" x14ac:dyDescent="0.25">
      <c r="Q15">
        <f>IF(P15="","",-(SUMIFS(E$20:E$901,$C$20:$C$901,P15,$B$20:$B$901,"Expense")+SUMIFS(F$20:F$901,$C$20:$C$901,P15,$B$20:$B$901,"Expense")+SUMIFS(G$20:G$901,$C$20:$C$901,P15,$B$20:$B$901,"Expense")+SUMIFS(H$20:H$901,$C$20:$C$901,P15,$B$20:$B$901,"Expense")+SUMIFS(I$20:I$901,$C$20:$C$901,P15,$B$20:$B$901,"Expense")+SUMIFS(J$20:J$901,$C$20:$C$901,P15,$B$20:$B$901,"Expense")+SUMIFS(K$20:K$901,$C$20:$C$901,P15,$B$20:$B$901,"Expense")+SUMIFS(L$20:L$901,$C$20:$C$901,P15,$B$20:$B$901,"Expense")+SUMIFS(M$20:M$901,$C$20:$C$901,P15,$B$20:$B$901,"Expense")+SUMIFS(N$20:N$901,$C$20:$C$901,P15,$B$20:$B$901,"Expense")))</f>
      </c>
    </row>
    <row r="16" spans="17:17" x14ac:dyDescent="0.25">
      <c r="Q16">
        <f>IF(P16="","",-(SUMIFS(E$20:E$901,$C$20:$C$901,P16,$B$20:$B$901,"Expense")+SUMIFS(F$20:F$901,$C$20:$C$901,P16,$B$20:$B$901,"Expense")+SUMIFS(G$20:G$901,$C$20:$C$901,P16,$B$20:$B$901,"Expense")+SUMIFS(H$20:H$901,$C$20:$C$901,P16,$B$20:$B$901,"Expense")+SUMIFS(I$20:I$901,$C$20:$C$901,P16,$B$20:$B$901,"Expense")+SUMIFS(J$20:J$901,$C$20:$C$901,P16,$B$20:$B$901,"Expense")+SUMIFS(K$20:K$901,$C$20:$C$901,P16,$B$20:$B$901,"Expense")+SUMIFS(L$20:L$901,$C$20:$C$901,P16,$B$20:$B$901,"Expense")+SUMIFS(M$20:M$901,$C$20:$C$901,P16,$B$20:$B$901,"Expense")+SUMIFS(N$20:N$901,$C$20:$C$901,P16,$B$20:$B$901,"Expense")))</f>
      </c>
    </row>
    <row r="17" spans="17:17" x14ac:dyDescent="0.25">
      <c r="Q17">
        <f>IF(P17="","",-(SUMIFS(E$20:E$901,$C$20:$C$901,P17,$B$20:$B$901,"Expense")+SUMIFS(F$20:F$901,$C$20:$C$901,P17,$B$20:$B$901,"Expense")+SUMIFS(G$20:G$901,$C$20:$C$901,P17,$B$20:$B$901,"Expense")+SUMIFS(H$20:H$901,$C$20:$C$901,P17,$B$20:$B$901,"Expense")+SUMIFS(I$20:I$901,$C$20:$C$901,P17,$B$20:$B$901,"Expense")+SUMIFS(J$20:J$901,$C$20:$C$901,P17,$B$20:$B$901,"Expense")+SUMIFS(K$20:K$901,$C$20:$C$901,P17,$B$20:$B$901,"Expense")+SUMIFS(L$20:L$901,$C$20:$C$901,P17,$B$20:$B$901,"Expense")+SUMIFS(M$20:M$901,$C$20:$C$901,P17,$B$20:$B$901,"Expense")+SUMIFS(N$20:N$901,$C$20:$C$901,P17,$B$20:$B$901,"Expense")))</f>
      </c>
    </row>
    <row r="18" spans="1:17" s="1" customFormat="1" x14ac:dyDescent="0.25">
      <c r="A18" s="1" t="s">
        <v>19</v>
      </c>
      <c r="B18" s="1" t="s">
        <v>20</v>
      </c>
      <c r="C18" s="1" t="s">
        <v>4</v>
      </c>
      <c r="D18" s="1" t="s">
        <v>21</v>
      </c>
      <c r="E18" s="1" t="s">
        <v>22</v>
      </c>
      <c r="F18" s="1" t="s">
        <v>23</v>
      </c>
      <c r="G18" s="1" t="s">
        <v>24</v>
      </c>
      <c r="H18" s="1" t="s">
        <v>25</v>
      </c>
      <c r="O18" s="1" t="s">
        <v>26</v>
      </c>
      <c r="Q18" s="1">
        <f>IF(P18="","",-(SUMIFS(E$20:E$901,$C$20:$C$901,P18,$B$20:$B$901,"Expense")+SUMIFS(F$20:F$901,$C$20:$C$901,P18,$B$20:$B$901,"Expense")+SUMIFS(G$20:G$901,$C$20:$C$901,P18,$B$20:$B$901,"Expense")+SUMIFS(H$20:H$901,$C$20:$C$901,P18,$B$20:$B$901,"Expense")+SUMIFS(I$20:I$901,$C$20:$C$901,P18,$B$20:$B$901,"Expense")+SUMIFS(J$20:J$901,$C$20:$C$901,P18,$B$20:$B$901,"Expense")+SUMIFS(K$20:K$901,$C$20:$C$901,P18,$B$20:$B$901,"Expense")+SUMIFS(L$20:L$901,$C$20:$C$901,P18,$B$20:$B$901,"Expense")+SUMIFS(M$20:M$901,$C$20:$C$901,P18,$B$20:$B$901,"Expense")+SUMIFS(N$20:N$901,$C$20:$C$901,P18,$B$20:$B$901,"Expense")))</f>
      </c>
    </row>
    <row r="19" spans="1:17" x14ac:dyDescent="0.25">
      <c r="A19" s="1">
        <f>TEXT(DATE($R$1,($R$2-1)*3+1,1),"mmmm")</f>
      </c>
      <c r="Q19">
        <f>IF(P19="","",-(SUMIFS(E$20:E$901,$C$20:$C$901,P19,$B$20:$B$901,"Expense")+SUMIFS(F$20:F$901,$C$20:$C$901,P19,$B$20:$B$901,"Expense")+SUMIFS(G$20:G$901,$C$20:$C$901,P19,$B$20:$B$901,"Expense")+SUMIFS(H$20:H$901,$C$20:$C$901,P19,$B$20:$B$901,"Expense")+SUMIFS(I$20:I$901,$C$20:$C$901,P19,$B$20:$B$901,"Expense")+SUMIFS(J$20:J$901,$C$20:$C$901,P19,$B$20:$B$901,"Expense")+SUMIFS(K$20:K$901,$C$20:$C$901,P19,$B$20:$B$901,"Expense")+SUMIFS(L$20:L$901,$C$20:$C$901,P19,$B$20:$B$901,"Expense")+SUMIFS(M$20:M$901,$C$20:$C$901,P19,$B$20:$B$901,"Expense")+SUMIFS(N$20:N$901,$C$20:$C$901,P19,$B$20:$B$901,"Expense")))</f>
      </c>
    </row>
    <row r="20" spans="1:17" x14ac:dyDescent="0.25">
      <c r="A20" s="2"/>
      <c r="Q20">
        <f>IF(P20="","",-(SUMIFS(E$20:E$901,$C$20:$C$901,P20,$B$20:$B$901,"Expense")+SUMIFS(F$20:F$901,$C$20:$C$901,P20,$B$20:$B$901,"Expense")+SUMIFS(G$20:G$901,$C$20:$C$901,P20,$B$20:$B$901,"Expense")+SUMIFS(H$20:H$901,$C$20:$C$901,P20,$B$20:$B$901,"Expense")+SUMIFS(I$20:I$901,$C$20:$C$901,P20,$B$20:$B$901,"Expense")+SUMIFS(J$20:J$901,$C$20:$C$901,P20,$B$20:$B$901,"Expense")+SUMIFS(K$20:K$901,$C$20:$C$901,P20,$B$20:$B$901,"Expense")+SUMIFS(L$20:L$901,$C$20:$C$901,P20,$B$20:$B$901,"Expense")+SUMIFS(M$20:M$901,$C$20:$C$901,P20,$B$20:$B$901,"Expense")+SUMIFS(N$20:N$901,$C$20:$C$901,P20,$B$20:$B$901,"Expense")))</f>
      </c>
    </row>
    <row r="21" spans="1:17" x14ac:dyDescent="0.25">
      <c r="A21" s="2"/>
      <c r="Q21">
        <f>IF(P21="","",-(SUMIFS(E$20:E$901,$C$20:$C$901,P21,$B$20:$B$901,"Expense")+SUMIFS(F$20:F$901,$C$20:$C$901,P21,$B$20:$B$901,"Expense")+SUMIFS(G$20:G$901,$C$20:$C$901,P21,$B$20:$B$901,"Expense")+SUMIFS(H$20:H$901,$C$20:$C$901,P21,$B$20:$B$901,"Expense")+SUMIFS(I$20:I$901,$C$20:$C$901,P21,$B$20:$B$901,"Expense")+SUMIFS(J$20:J$901,$C$20:$C$901,P21,$B$20:$B$901,"Expense")+SUMIFS(K$20:K$901,$C$20:$C$901,P21,$B$20:$B$901,"Expense")+SUMIFS(L$20:L$901,$C$20:$C$901,P21,$B$20:$B$901,"Expense")+SUMIFS(M$20:M$901,$C$20:$C$901,P21,$B$20:$B$901,"Expense")+SUMIFS(N$20:N$901,$C$20:$C$901,P21,$B$20:$B$901,"Expense")))</f>
      </c>
    </row>
    <row r="22" spans="1:17" x14ac:dyDescent="0.25">
      <c r="A22" s="2"/>
      <c r="Q22">
        <f>IF(P22="","",-(SUMIFS(E$20:E$901,$C$20:$C$901,P22,$B$20:$B$901,"Expense")+SUMIFS(F$20:F$901,$C$20:$C$901,P22,$B$20:$B$901,"Expense")+SUMIFS(G$20:G$901,$C$20:$C$901,P22,$B$20:$B$901,"Expense")+SUMIFS(H$20:H$901,$C$20:$C$901,P22,$B$20:$B$901,"Expense")+SUMIFS(I$20:I$901,$C$20:$C$901,P22,$B$20:$B$901,"Expense")+SUMIFS(J$20:J$901,$C$20:$C$901,P22,$B$20:$B$901,"Expense")+SUMIFS(K$20:K$901,$C$20:$C$901,P22,$B$20:$B$901,"Expense")+SUMIFS(L$20:L$901,$C$20:$C$901,P22,$B$20:$B$901,"Expense")+SUMIFS(M$20:M$901,$C$20:$C$901,P22,$B$20:$B$901,"Expense")+SUMIFS(N$20:N$901,$C$20:$C$901,P22,$B$20:$B$901,"Expense")))</f>
      </c>
    </row>
    <row r="23" spans="1:17" x14ac:dyDescent="0.25">
      <c r="A23" s="2"/>
      <c r="Q23">
        <f>IF(P23="","",-(SUMIFS(E$20:E$901,$C$20:$C$901,P23,$B$20:$B$901,"Expense")+SUMIFS(F$20:F$901,$C$20:$C$901,P23,$B$20:$B$901,"Expense")+SUMIFS(G$20:G$901,$C$20:$C$901,P23,$B$20:$B$901,"Expense")+SUMIFS(H$20:H$901,$C$20:$C$901,P23,$B$20:$B$901,"Expense")+SUMIFS(I$20:I$901,$C$20:$C$901,P23,$B$20:$B$901,"Expense")+SUMIFS(J$20:J$901,$C$20:$C$901,P23,$B$20:$B$901,"Expense")+SUMIFS(K$20:K$901,$C$20:$C$901,P23,$B$20:$B$901,"Expense")+SUMIFS(L$20:L$901,$C$20:$C$901,P23,$B$20:$B$901,"Expense")+SUMIFS(M$20:M$901,$C$20:$C$901,P23,$B$20:$B$901,"Expense")+SUMIFS(N$20:N$901,$C$20:$C$901,P23,$B$20:$B$901,"Expense")))</f>
      </c>
    </row>
    <row r="24" spans="1:17" x14ac:dyDescent="0.25">
      <c r="A24" s="2"/>
      <c r="Q24">
        <f>IF(P24="","",-(SUMIFS(E$20:E$901,$C$20:$C$901,P24,$B$20:$B$901,"Expense")+SUMIFS(F$20:F$901,$C$20:$C$901,P24,$B$20:$B$901,"Expense")+SUMIFS(G$20:G$901,$C$20:$C$901,P24,$B$20:$B$901,"Expense")+SUMIFS(H$20:H$901,$C$20:$C$901,P24,$B$20:$B$901,"Expense")+SUMIFS(I$20:I$901,$C$20:$C$901,P24,$B$20:$B$901,"Expense")+SUMIFS(J$20:J$901,$C$20:$C$901,P24,$B$20:$B$901,"Expense")+SUMIFS(K$20:K$901,$C$20:$C$901,P24,$B$20:$B$901,"Expense")+SUMIFS(L$20:L$901,$C$20:$C$901,P24,$B$20:$B$901,"Expense")+SUMIFS(M$20:M$901,$C$20:$C$901,P24,$B$20:$B$901,"Expense")+SUMIFS(N$20:N$901,$C$20:$C$901,P24,$B$20:$B$901,"Expense")))</f>
      </c>
    </row>
    <row r="25" spans="1:17" x14ac:dyDescent="0.25">
      <c r="A25" s="2"/>
      <c r="Q25">
        <f>IF(P25="","",-(SUMIFS(E$20:E$901,$C$20:$C$901,P25,$B$20:$B$901,"Expense")+SUMIFS(F$20:F$901,$C$20:$C$901,P25,$B$20:$B$901,"Expense")+SUMIFS(G$20:G$901,$C$20:$C$901,P25,$B$20:$B$901,"Expense")+SUMIFS(H$20:H$901,$C$20:$C$901,P25,$B$20:$B$901,"Expense")+SUMIFS(I$20:I$901,$C$20:$C$901,P25,$B$20:$B$901,"Expense")+SUMIFS(J$20:J$901,$C$20:$C$901,P25,$B$20:$B$901,"Expense")+SUMIFS(K$20:K$901,$C$20:$C$901,P25,$B$20:$B$901,"Expense")+SUMIFS(L$20:L$901,$C$20:$C$901,P25,$B$20:$B$901,"Expense")+SUMIFS(M$20:M$901,$C$20:$C$901,P25,$B$20:$B$901,"Expense")+SUMIFS(N$20:N$901,$C$20:$C$901,P25,$B$20:$B$901,"Expense")))</f>
      </c>
    </row>
    <row r="26" spans="1:17" x14ac:dyDescent="0.25">
      <c r="A26" s="2"/>
      <c r="Q26">
        <f>IF(P26="","",-(SUMIFS(E$20:E$901,$C$20:$C$901,P26,$B$20:$B$901,"Expense")+SUMIFS(F$20:F$901,$C$20:$C$901,P26,$B$20:$B$901,"Expense")+SUMIFS(G$20:G$901,$C$20:$C$901,P26,$B$20:$B$901,"Expense")+SUMIFS(H$20:H$901,$C$20:$C$901,P26,$B$20:$B$901,"Expense")+SUMIFS(I$20:I$901,$C$20:$C$901,P26,$B$20:$B$901,"Expense")+SUMIFS(J$20:J$901,$C$20:$C$901,P26,$B$20:$B$901,"Expense")+SUMIFS(K$20:K$901,$C$20:$C$901,P26,$B$20:$B$901,"Expense")+SUMIFS(L$20:L$901,$C$20:$C$901,P26,$B$20:$B$901,"Expense")+SUMIFS(M$20:M$901,$C$20:$C$901,P26,$B$20:$B$901,"Expense")+SUMIFS(N$20:N$901,$C$20:$C$901,P26,$B$20:$B$901,"Expense")))</f>
      </c>
    </row>
    <row r="27" spans="1:17" x14ac:dyDescent="0.25">
      <c r="A27" s="2"/>
      <c r="Q27">
        <f>IF(P27="","",-(SUMIFS(E$20:E$901,$C$20:$C$901,P27,$B$20:$B$901,"Expense")+SUMIFS(F$20:F$901,$C$20:$C$901,P27,$B$20:$B$901,"Expense")+SUMIFS(G$20:G$901,$C$20:$C$901,P27,$B$20:$B$901,"Expense")+SUMIFS(H$20:H$901,$C$20:$C$901,P27,$B$20:$B$901,"Expense")+SUMIFS(I$20:I$901,$C$20:$C$901,P27,$B$20:$B$901,"Expense")+SUMIFS(J$20:J$901,$C$20:$C$901,P27,$B$20:$B$901,"Expense")+SUMIFS(K$20:K$901,$C$20:$C$901,P27,$B$20:$B$901,"Expense")+SUMIFS(L$20:L$901,$C$20:$C$901,P27,$B$20:$B$901,"Expense")+SUMIFS(M$20:M$901,$C$20:$C$901,P27,$B$20:$B$901,"Expense")+SUMIFS(N$20:N$901,$C$20:$C$901,P27,$B$20:$B$901,"Expense")))</f>
      </c>
    </row>
    <row r="28" spans="1:17" x14ac:dyDescent="0.25">
      <c r="A28" s="2"/>
      <c r="Q28">
        <f>IF(P28="","",-(SUMIFS(E$20:E$901,$C$20:$C$901,P28,$B$20:$B$901,"Expense")+SUMIFS(F$20:F$901,$C$20:$C$901,P28,$B$20:$B$901,"Expense")+SUMIFS(G$20:G$901,$C$20:$C$901,P28,$B$20:$B$901,"Expense")+SUMIFS(H$20:H$901,$C$20:$C$901,P28,$B$20:$B$901,"Expense")+SUMIFS(I$20:I$901,$C$20:$C$901,P28,$B$20:$B$901,"Expense")+SUMIFS(J$20:J$901,$C$20:$C$901,P28,$B$20:$B$901,"Expense")+SUMIFS(K$20:K$901,$C$20:$C$901,P28,$B$20:$B$901,"Expense")+SUMIFS(L$20:L$901,$C$20:$C$901,P28,$B$20:$B$901,"Expense")+SUMIFS(M$20:M$901,$C$20:$C$901,P28,$B$20:$B$901,"Expense")+SUMIFS(N$20:N$901,$C$20:$C$901,P28,$B$20:$B$901,"Expense")))</f>
      </c>
    </row>
    <row r="29" spans="1:17" x14ac:dyDescent="0.25">
      <c r="A29" s="2"/>
      <c r="Q29">
        <f>IF(P29="","",-(SUMIFS(E$20:E$901,$C$20:$C$901,P29,$B$20:$B$901,"Expense")+SUMIFS(F$20:F$901,$C$20:$C$901,P29,$B$20:$B$901,"Expense")+SUMIFS(G$20:G$901,$C$20:$C$901,P29,$B$20:$B$901,"Expense")+SUMIFS(H$20:H$901,$C$20:$C$901,P29,$B$20:$B$901,"Expense")+SUMIFS(I$20:I$901,$C$20:$C$901,P29,$B$20:$B$901,"Expense")+SUMIFS(J$20:J$901,$C$20:$C$901,P29,$B$20:$B$901,"Expense")+SUMIFS(K$20:K$901,$C$20:$C$901,P29,$B$20:$B$901,"Expense")+SUMIFS(L$20:L$901,$C$20:$C$901,P29,$B$20:$B$901,"Expense")+SUMIFS(M$20:M$901,$C$20:$C$901,P29,$B$20:$B$901,"Expense")+SUMIFS(N$20:N$901,$C$20:$C$901,P29,$B$20:$B$901,"Expense")))</f>
      </c>
    </row>
    <row r="30" spans="1:17" x14ac:dyDescent="0.25">
      <c r="A30" s="2"/>
      <c r="Q30">
        <f>IF(P30="","",-(SUMIFS(E$20:E$901,$C$20:$C$901,P30,$B$20:$B$901,"Expense")+SUMIFS(F$20:F$901,$C$20:$C$901,P30,$B$20:$B$901,"Expense")+SUMIFS(G$20:G$901,$C$20:$C$901,P30,$B$20:$B$901,"Expense")+SUMIFS(H$20:H$901,$C$20:$C$901,P30,$B$20:$B$901,"Expense")+SUMIFS(I$20:I$901,$C$20:$C$901,P30,$B$20:$B$901,"Expense")+SUMIFS(J$20:J$901,$C$20:$C$901,P30,$B$20:$B$901,"Expense")+SUMIFS(K$20:K$901,$C$20:$C$901,P30,$B$20:$B$901,"Expense")+SUMIFS(L$20:L$901,$C$20:$C$901,P30,$B$20:$B$901,"Expense")+SUMIFS(M$20:M$901,$C$20:$C$901,P30,$B$20:$B$901,"Expense")+SUMIFS(N$20:N$901,$C$20:$C$901,P30,$B$20:$B$901,"Expense")))</f>
      </c>
    </row>
    <row r="31" spans="1:17" x14ac:dyDescent="0.25">
      <c r="A31" s="2"/>
      <c r="Q31">
        <f>IF(P31="","",-(SUMIFS(E$20:E$901,$C$20:$C$901,P31,$B$20:$B$901,"Expense")+SUMIFS(F$20:F$901,$C$20:$C$901,P31,$B$20:$B$901,"Expense")+SUMIFS(G$20:G$901,$C$20:$C$901,P31,$B$20:$B$901,"Expense")+SUMIFS(H$20:H$901,$C$20:$C$901,P31,$B$20:$B$901,"Expense")+SUMIFS(I$20:I$901,$C$20:$C$901,P31,$B$20:$B$901,"Expense")+SUMIFS(J$20:J$901,$C$20:$C$901,P31,$B$20:$B$901,"Expense")+SUMIFS(K$20:K$901,$C$20:$C$901,P31,$B$20:$B$901,"Expense")+SUMIFS(L$20:L$901,$C$20:$C$901,P31,$B$20:$B$901,"Expense")+SUMIFS(M$20:M$901,$C$20:$C$901,P31,$B$20:$B$901,"Expense")+SUMIFS(N$20:N$901,$C$20:$C$901,P31,$B$20:$B$901,"Expense")))</f>
      </c>
    </row>
    <row r="32" spans="1:17" x14ac:dyDescent="0.25">
      <c r="A32" s="2"/>
      <c r="Q32">
        <f>IF(P32="","",-(SUMIFS(E$20:E$901,$C$20:$C$901,P32,$B$20:$B$901,"Expense")+SUMIFS(F$20:F$901,$C$20:$C$901,P32,$B$20:$B$901,"Expense")+SUMIFS(G$20:G$901,$C$20:$C$901,P32,$B$20:$B$901,"Expense")+SUMIFS(H$20:H$901,$C$20:$C$901,P32,$B$20:$B$901,"Expense")+SUMIFS(I$20:I$901,$C$20:$C$901,P32,$B$20:$B$901,"Expense")+SUMIFS(J$20:J$901,$C$20:$C$901,P32,$B$20:$B$901,"Expense")+SUMIFS(K$20:K$901,$C$20:$C$901,P32,$B$20:$B$901,"Expense")+SUMIFS(L$20:L$901,$C$20:$C$901,P32,$B$20:$B$901,"Expense")+SUMIFS(M$20:M$901,$C$20:$C$901,P32,$B$20:$B$901,"Expense")+SUMIFS(N$20:N$901,$C$20:$C$901,P32,$B$20:$B$901,"Expense")))</f>
      </c>
    </row>
    <row r="33" spans="1:17" x14ac:dyDescent="0.25">
      <c r="A33" s="2"/>
      <c r="Q33">
        <f>IF(P33="","",-(SUMIFS(E$20:E$901,$C$20:$C$901,P33,$B$20:$B$901,"Expense")+SUMIFS(F$20:F$901,$C$20:$C$901,P33,$B$20:$B$901,"Expense")+SUMIFS(G$20:G$901,$C$20:$C$901,P33,$B$20:$B$901,"Expense")+SUMIFS(H$20:H$901,$C$20:$C$901,P33,$B$20:$B$901,"Expense")+SUMIFS(I$20:I$901,$C$20:$C$901,P33,$B$20:$B$901,"Expense")+SUMIFS(J$20:J$901,$C$20:$C$901,P33,$B$20:$B$901,"Expense")+SUMIFS(K$20:K$901,$C$20:$C$901,P33,$B$20:$B$901,"Expense")+SUMIFS(L$20:L$901,$C$20:$C$901,P33,$B$20:$B$901,"Expense")+SUMIFS(M$20:M$901,$C$20:$C$901,P33,$B$20:$B$901,"Expense")+SUMIFS(N$20:N$901,$C$20:$C$901,P33,$B$20:$B$901,"Expense")))</f>
      </c>
    </row>
    <row r="34" spans="1:17" x14ac:dyDescent="0.25">
      <c r="A34" s="2"/>
      <c r="Q34">
        <f>IF(P34="","",-(SUMIFS(E$20:E$901,$C$20:$C$901,P34,$B$20:$B$901,"Expense")+SUMIFS(F$20:F$901,$C$20:$C$901,P34,$B$20:$B$901,"Expense")+SUMIFS(G$20:G$901,$C$20:$C$901,P34,$B$20:$B$901,"Expense")+SUMIFS(H$20:H$901,$C$20:$C$901,P34,$B$20:$B$901,"Expense")+SUMIFS(I$20:I$901,$C$20:$C$901,P34,$B$20:$B$901,"Expense")+SUMIFS(J$20:J$901,$C$20:$C$901,P34,$B$20:$B$901,"Expense")+SUMIFS(K$20:K$901,$C$20:$C$901,P34,$B$20:$B$901,"Expense")+SUMIFS(L$20:L$901,$C$20:$C$901,P34,$B$20:$B$901,"Expense")+SUMIFS(M$20:M$901,$C$20:$C$901,P34,$B$20:$B$901,"Expense")+SUMIFS(N$20:N$901,$C$20:$C$901,P34,$B$20:$B$901,"Expense")))</f>
      </c>
    </row>
    <row r="35" spans="1:17" x14ac:dyDescent="0.25">
      <c r="A35" s="2"/>
      <c r="Q35">
        <f>IF(P35="","",-(SUMIFS(E$20:E$901,$C$20:$C$901,P35,$B$20:$B$901,"Expense")+SUMIFS(F$20:F$901,$C$20:$C$901,P35,$B$20:$B$901,"Expense")+SUMIFS(G$20:G$901,$C$20:$C$901,P35,$B$20:$B$901,"Expense")+SUMIFS(H$20:H$901,$C$20:$C$901,P35,$B$20:$B$901,"Expense")+SUMIFS(I$20:I$901,$C$20:$C$901,P35,$B$20:$B$901,"Expense")+SUMIFS(J$20:J$901,$C$20:$C$901,P35,$B$20:$B$901,"Expense")+SUMIFS(K$20:K$901,$C$20:$C$901,P35,$B$20:$B$901,"Expense")+SUMIFS(L$20:L$901,$C$20:$C$901,P35,$B$20:$B$901,"Expense")+SUMIFS(M$20:M$901,$C$20:$C$901,P35,$B$20:$B$901,"Expense")+SUMIFS(N$20:N$901,$C$20:$C$901,P35,$B$20:$B$901,"Expense")))</f>
      </c>
    </row>
    <row r="36" spans="1:17" x14ac:dyDescent="0.25">
      <c r="A36" s="2"/>
      <c r="Q36">
        <f>IF(P36="","",-(SUMIFS(E$20:E$901,$C$20:$C$901,P36,$B$20:$B$901,"Expense")+SUMIFS(F$20:F$901,$C$20:$C$901,P36,$B$20:$B$901,"Expense")+SUMIFS(G$20:G$901,$C$20:$C$901,P36,$B$20:$B$901,"Expense")+SUMIFS(H$20:H$901,$C$20:$C$901,P36,$B$20:$B$901,"Expense")+SUMIFS(I$20:I$901,$C$20:$C$901,P36,$B$20:$B$901,"Expense")+SUMIFS(J$20:J$901,$C$20:$C$901,P36,$B$20:$B$901,"Expense")+SUMIFS(K$20:K$901,$C$20:$C$901,P36,$B$20:$B$901,"Expense")+SUMIFS(L$20:L$901,$C$20:$C$901,P36,$B$20:$B$901,"Expense")+SUMIFS(M$20:M$901,$C$20:$C$901,P36,$B$20:$B$901,"Expense")+SUMIFS(N$20:N$901,$C$20:$C$901,P36,$B$20:$B$901,"Expense")))</f>
      </c>
    </row>
    <row r="37" spans="1:17" x14ac:dyDescent="0.25">
      <c r="A37" s="2"/>
      <c r="Q37">
        <f>IF(P37="","",-(SUMIFS(E$20:E$901,$C$20:$C$901,P37,$B$20:$B$901,"Expense")+SUMIFS(F$20:F$901,$C$20:$C$901,P37,$B$20:$B$901,"Expense")+SUMIFS(G$20:G$901,$C$20:$C$901,P37,$B$20:$B$901,"Expense")+SUMIFS(H$20:H$901,$C$20:$C$901,P37,$B$20:$B$901,"Expense")+SUMIFS(I$20:I$901,$C$20:$C$901,P37,$B$20:$B$901,"Expense")+SUMIFS(J$20:J$901,$C$20:$C$901,P37,$B$20:$B$901,"Expense")+SUMIFS(K$20:K$901,$C$20:$C$901,P37,$B$20:$B$901,"Expense")+SUMIFS(L$20:L$901,$C$20:$C$901,P37,$B$20:$B$901,"Expense")+SUMIFS(M$20:M$901,$C$20:$C$901,P37,$B$20:$B$901,"Expense")+SUMIFS(N$20:N$901,$C$20:$C$901,P37,$B$20:$B$901,"Expense")))</f>
      </c>
    </row>
    <row r="38" spans="1:17" x14ac:dyDescent="0.25">
      <c r="A38" s="2"/>
      <c r="Q38">
        <f>IF(P38="","",-(SUMIFS(E$20:E$901,$C$20:$C$901,P38,$B$20:$B$901,"Expense")+SUMIFS(F$20:F$901,$C$20:$C$901,P38,$B$20:$B$901,"Expense")+SUMIFS(G$20:G$901,$C$20:$C$901,P38,$B$20:$B$901,"Expense")+SUMIFS(H$20:H$901,$C$20:$C$901,P38,$B$20:$B$901,"Expense")+SUMIFS(I$20:I$901,$C$20:$C$901,P38,$B$20:$B$901,"Expense")+SUMIFS(J$20:J$901,$C$20:$C$901,P38,$B$20:$B$901,"Expense")+SUMIFS(K$20:K$901,$C$20:$C$901,P38,$B$20:$B$901,"Expense")+SUMIFS(L$20:L$901,$C$20:$C$901,P38,$B$20:$B$901,"Expense")+SUMIFS(M$20:M$901,$C$20:$C$901,P38,$B$20:$B$901,"Expense")+SUMIFS(N$20:N$901,$C$20:$C$901,P38,$B$20:$B$901,"Expense")))</f>
      </c>
    </row>
    <row r="39" spans="1:17" x14ac:dyDescent="0.25">
      <c r="A39" s="2"/>
      <c r="Q39">
        <f>IF(P39="","",-(SUMIFS(E$20:E$901,$C$20:$C$901,P39,$B$20:$B$901,"Expense")+SUMIFS(F$20:F$901,$C$20:$C$901,P39,$B$20:$B$901,"Expense")+SUMIFS(G$20:G$901,$C$20:$C$901,P39,$B$20:$B$901,"Expense")+SUMIFS(H$20:H$901,$C$20:$C$901,P39,$B$20:$B$901,"Expense")+SUMIFS(I$20:I$901,$C$20:$C$901,P39,$B$20:$B$901,"Expense")+SUMIFS(J$20:J$901,$C$20:$C$901,P39,$B$20:$B$901,"Expense")+SUMIFS(K$20:K$901,$C$20:$C$901,P39,$B$20:$B$901,"Expense")+SUMIFS(L$20:L$901,$C$20:$C$901,P39,$B$20:$B$901,"Expense")+SUMIFS(M$20:M$901,$C$20:$C$901,P39,$B$20:$B$901,"Expense")+SUMIFS(N$20:N$901,$C$20:$C$901,P39,$B$20:$B$901,"Expense")))</f>
      </c>
    </row>
    <row r="40" spans="1:17" x14ac:dyDescent="0.25">
      <c r="A40" s="2"/>
      <c r="Q40">
        <f>IF(P40="","",-(SUMIFS(E$20:E$901,$C$20:$C$901,P40,$B$20:$B$901,"Expense")+SUMIFS(F$20:F$901,$C$20:$C$901,P40,$B$20:$B$901,"Expense")+SUMIFS(G$20:G$901,$C$20:$C$901,P40,$B$20:$B$901,"Expense")+SUMIFS(H$20:H$901,$C$20:$C$901,P40,$B$20:$B$901,"Expense")+SUMIFS(I$20:I$901,$C$20:$C$901,P40,$B$20:$B$901,"Expense")+SUMIFS(J$20:J$901,$C$20:$C$901,P40,$B$20:$B$901,"Expense")+SUMIFS(K$20:K$901,$C$20:$C$901,P40,$B$20:$B$901,"Expense")+SUMIFS(L$20:L$901,$C$20:$C$901,P40,$B$20:$B$901,"Expense")+SUMIFS(M$20:M$901,$C$20:$C$901,P40,$B$20:$B$901,"Expense")+SUMIFS(N$20:N$901,$C$20:$C$901,P40,$B$20:$B$901,"Expense")))</f>
      </c>
    </row>
    <row r="41" spans="1:17" x14ac:dyDescent="0.25">
      <c r="A41" s="2"/>
      <c r="Q41">
        <f>IF(P41="","",-(SUMIFS(E$20:E$901,$C$20:$C$901,P41,$B$20:$B$901,"Expense")+SUMIFS(F$20:F$901,$C$20:$C$901,P41,$B$20:$B$901,"Expense")+SUMIFS(G$20:G$901,$C$20:$C$901,P41,$B$20:$B$901,"Expense")+SUMIFS(H$20:H$901,$C$20:$C$901,P41,$B$20:$B$901,"Expense")+SUMIFS(I$20:I$901,$C$20:$C$901,P41,$B$20:$B$901,"Expense")+SUMIFS(J$20:J$901,$C$20:$C$901,P41,$B$20:$B$901,"Expense")+SUMIFS(K$20:K$901,$C$20:$C$901,P41,$B$20:$B$901,"Expense")+SUMIFS(L$20:L$901,$C$20:$C$901,P41,$B$20:$B$901,"Expense")+SUMIFS(M$20:M$901,$C$20:$C$901,P41,$B$20:$B$901,"Expense")+SUMIFS(N$20:N$901,$C$20:$C$901,P41,$B$20:$B$901,"Expense")))</f>
      </c>
    </row>
    <row r="42" spans="1:17" x14ac:dyDescent="0.25">
      <c r="A42" s="2"/>
      <c r="Q42">
        <f>IF(P42="","",-(SUMIFS(E$20:E$901,$C$20:$C$901,P42,$B$20:$B$901,"Expense")+SUMIFS(F$20:F$901,$C$20:$C$901,P42,$B$20:$B$901,"Expense")+SUMIFS(G$20:G$901,$C$20:$C$901,P42,$B$20:$B$901,"Expense")+SUMIFS(H$20:H$901,$C$20:$C$901,P42,$B$20:$B$901,"Expense")+SUMIFS(I$20:I$901,$C$20:$C$901,P42,$B$20:$B$901,"Expense")+SUMIFS(J$20:J$901,$C$20:$C$901,P42,$B$20:$B$901,"Expense")+SUMIFS(K$20:K$901,$C$20:$C$901,P42,$B$20:$B$901,"Expense")+SUMIFS(L$20:L$901,$C$20:$C$901,P42,$B$20:$B$901,"Expense")+SUMIFS(M$20:M$901,$C$20:$C$901,P42,$B$20:$B$901,"Expense")+SUMIFS(N$20:N$901,$C$20:$C$901,P42,$B$20:$B$901,"Expense")))</f>
      </c>
    </row>
    <row r="43" spans="1:17" x14ac:dyDescent="0.25">
      <c r="A43" s="2"/>
      <c r="Q43">
        <f>IF(P43="","",-(SUMIFS(E$20:E$901,$C$20:$C$901,P43,$B$20:$B$901,"Expense")+SUMIFS(F$20:F$901,$C$20:$C$901,P43,$B$20:$B$901,"Expense")+SUMIFS(G$20:G$901,$C$20:$C$901,P43,$B$20:$B$901,"Expense")+SUMIFS(H$20:H$901,$C$20:$C$901,P43,$B$20:$B$901,"Expense")+SUMIFS(I$20:I$901,$C$20:$C$901,P43,$B$20:$B$901,"Expense")+SUMIFS(J$20:J$901,$C$20:$C$901,P43,$B$20:$B$901,"Expense")+SUMIFS(K$20:K$901,$C$20:$C$901,P43,$B$20:$B$901,"Expense")+SUMIFS(L$20:L$901,$C$20:$C$901,P43,$B$20:$B$901,"Expense")+SUMIFS(M$20:M$901,$C$20:$C$901,P43,$B$20:$B$901,"Expense")+SUMIFS(N$20:N$901,$C$20:$C$901,P43,$B$20:$B$901,"Expense")))</f>
      </c>
    </row>
    <row r="44" spans="1:17" x14ac:dyDescent="0.25">
      <c r="A44" s="2"/>
      <c r="Q44">
        <f>IF(P44="","",-(SUMIFS(E$20:E$901,$C$20:$C$901,P44,$B$20:$B$901,"Expense")+SUMIFS(F$20:F$901,$C$20:$C$901,P44,$B$20:$B$901,"Expense")+SUMIFS(G$20:G$901,$C$20:$C$901,P44,$B$20:$B$901,"Expense")+SUMIFS(H$20:H$901,$C$20:$C$901,P44,$B$20:$B$901,"Expense")+SUMIFS(I$20:I$901,$C$20:$C$901,P44,$B$20:$B$901,"Expense")+SUMIFS(J$20:J$901,$C$20:$C$901,P44,$B$20:$B$901,"Expense")+SUMIFS(K$20:K$901,$C$20:$C$901,P44,$B$20:$B$901,"Expense")+SUMIFS(L$20:L$901,$C$20:$C$901,P44,$B$20:$B$901,"Expense")+SUMIFS(M$20:M$901,$C$20:$C$901,P44,$B$20:$B$901,"Expense")+SUMIFS(N$20:N$901,$C$20:$C$901,P44,$B$20:$B$901,"Expense")))</f>
      </c>
    </row>
    <row r="45" spans="1:17" x14ac:dyDescent="0.25">
      <c r="A45" s="2"/>
      <c r="Q45">
        <f>IF(P45="","",-(SUMIFS(E$20:E$901,$C$20:$C$901,P45,$B$20:$B$901,"Expense")+SUMIFS(F$20:F$901,$C$20:$C$901,P45,$B$20:$B$901,"Expense")+SUMIFS(G$20:G$901,$C$20:$C$901,P45,$B$20:$B$901,"Expense")+SUMIFS(H$20:H$901,$C$20:$C$901,P45,$B$20:$B$901,"Expense")+SUMIFS(I$20:I$901,$C$20:$C$901,P45,$B$20:$B$901,"Expense")+SUMIFS(J$20:J$901,$C$20:$C$901,P45,$B$20:$B$901,"Expense")+SUMIFS(K$20:K$901,$C$20:$C$901,P45,$B$20:$B$901,"Expense")+SUMIFS(L$20:L$901,$C$20:$C$901,P45,$B$20:$B$901,"Expense")+SUMIFS(M$20:M$901,$C$20:$C$901,P45,$B$20:$B$901,"Expense")+SUMIFS(N$20:N$901,$C$20:$C$901,P45,$B$20:$B$901,"Expense")))</f>
      </c>
    </row>
    <row r="46" spans="1:17" x14ac:dyDescent="0.25">
      <c r="A46" s="2"/>
      <c r="Q46">
        <f>IF(P46="","",-(SUMIFS(E$20:E$901,$C$20:$C$901,P46,$B$20:$B$901,"Expense")+SUMIFS(F$20:F$901,$C$20:$C$901,P46,$B$20:$B$901,"Expense")+SUMIFS(G$20:G$901,$C$20:$C$901,P46,$B$20:$B$901,"Expense")+SUMIFS(H$20:H$901,$C$20:$C$901,P46,$B$20:$B$901,"Expense")+SUMIFS(I$20:I$901,$C$20:$C$901,P46,$B$20:$B$901,"Expense")+SUMIFS(J$20:J$901,$C$20:$C$901,P46,$B$20:$B$901,"Expense")+SUMIFS(K$20:K$901,$C$20:$C$901,P46,$B$20:$B$901,"Expense")+SUMIFS(L$20:L$901,$C$20:$C$901,P46,$B$20:$B$901,"Expense")+SUMIFS(M$20:M$901,$C$20:$C$901,P46,$B$20:$B$901,"Expense")+SUMIFS(N$20:N$901,$C$20:$C$901,P46,$B$20:$B$901,"Expense")))</f>
      </c>
    </row>
    <row r="47" spans="1:17" x14ac:dyDescent="0.25">
      <c r="A47" s="2"/>
      <c r="Q47">
        <f>IF(P47="","",-(SUMIFS(E$20:E$901,$C$20:$C$901,P47,$B$20:$B$901,"Expense")+SUMIFS(F$20:F$901,$C$20:$C$901,P47,$B$20:$B$901,"Expense")+SUMIFS(G$20:G$901,$C$20:$C$901,P47,$B$20:$B$901,"Expense")+SUMIFS(H$20:H$901,$C$20:$C$901,P47,$B$20:$B$901,"Expense")+SUMIFS(I$20:I$901,$C$20:$C$901,P47,$B$20:$B$901,"Expense")+SUMIFS(J$20:J$901,$C$20:$C$901,P47,$B$20:$B$901,"Expense")+SUMIFS(K$20:K$901,$C$20:$C$901,P47,$B$20:$B$901,"Expense")+SUMIFS(L$20:L$901,$C$20:$C$901,P47,$B$20:$B$901,"Expense")+SUMIFS(M$20:M$901,$C$20:$C$901,P47,$B$20:$B$901,"Expense")+SUMIFS(N$20:N$901,$C$20:$C$901,P47,$B$20:$B$901,"Expense")))</f>
      </c>
    </row>
    <row r="48" spans="1:17" x14ac:dyDescent="0.25">
      <c r="A48" s="2"/>
      <c r="Q48">
        <f>IF(P48="","",-(SUMIFS(E$20:E$901,$C$20:$C$901,P48,$B$20:$B$901,"Expense")+SUMIFS(F$20:F$901,$C$20:$C$901,P48,$B$20:$B$901,"Expense")+SUMIFS(G$20:G$901,$C$20:$C$901,P48,$B$20:$B$901,"Expense")+SUMIFS(H$20:H$901,$C$20:$C$901,P48,$B$20:$B$901,"Expense")+SUMIFS(I$20:I$901,$C$20:$C$901,P48,$B$20:$B$901,"Expense")+SUMIFS(J$20:J$901,$C$20:$C$901,P48,$B$20:$B$901,"Expense")+SUMIFS(K$20:K$901,$C$20:$C$901,P48,$B$20:$B$901,"Expense")+SUMIFS(L$20:L$901,$C$20:$C$901,P48,$B$20:$B$901,"Expense")+SUMIFS(M$20:M$901,$C$20:$C$901,P48,$B$20:$B$901,"Expense")+SUMIFS(N$20:N$901,$C$20:$C$901,P48,$B$20:$B$901,"Expense")))</f>
      </c>
    </row>
    <row r="49" spans="1:17" x14ac:dyDescent="0.25">
      <c r="A49" s="2"/>
      <c r="Q49">
        <f>IF(P49="","",-(SUMIFS(E$20:E$901,$C$20:$C$901,P49,$B$20:$B$901,"Expense")+SUMIFS(F$20:F$901,$C$20:$C$901,P49,$B$20:$B$901,"Expense")+SUMIFS(G$20:G$901,$C$20:$C$901,P49,$B$20:$B$901,"Expense")+SUMIFS(H$20:H$901,$C$20:$C$901,P49,$B$20:$B$901,"Expense")+SUMIFS(I$20:I$901,$C$20:$C$901,P49,$B$20:$B$901,"Expense")+SUMIFS(J$20:J$901,$C$20:$C$901,P49,$B$20:$B$901,"Expense")+SUMIFS(K$20:K$901,$C$20:$C$901,P49,$B$20:$B$901,"Expense")+SUMIFS(L$20:L$901,$C$20:$C$901,P49,$B$20:$B$901,"Expense")+SUMIFS(M$20:M$901,$C$20:$C$901,P49,$B$20:$B$901,"Expense")+SUMIFS(N$20:N$901,$C$20:$C$901,P49,$B$20:$B$901,"Expense")))</f>
      </c>
    </row>
    <row r="50" spans="1:17" x14ac:dyDescent="0.25">
      <c r="A50" s="2"/>
      <c r="Q50">
        <f>IF(P50="","",-(SUMIFS(E$20:E$901,$C$20:$C$901,P50,$B$20:$B$901,"Expense")+SUMIFS(F$20:F$901,$C$20:$C$901,P50,$B$20:$B$901,"Expense")+SUMIFS(G$20:G$901,$C$20:$C$901,P50,$B$20:$B$901,"Expense")+SUMIFS(H$20:H$901,$C$20:$C$901,P50,$B$20:$B$901,"Expense")+SUMIFS(I$20:I$901,$C$20:$C$901,P50,$B$20:$B$901,"Expense")+SUMIFS(J$20:J$901,$C$20:$C$901,P50,$B$20:$B$901,"Expense")+SUMIFS(K$20:K$901,$C$20:$C$901,P50,$B$20:$B$901,"Expense")+SUMIFS(L$20:L$901,$C$20:$C$901,P50,$B$20:$B$901,"Expense")+SUMIFS(M$20:M$901,$C$20:$C$901,P50,$B$20:$B$901,"Expense")+SUMIFS(N$20:N$901,$C$20:$C$901,P50,$B$20:$B$901,"Expense")))</f>
      </c>
    </row>
    <row r="51" spans="1:17" x14ac:dyDescent="0.25">
      <c r="A51" s="2"/>
      <c r="Q51">
        <f>IF(P51="","",-(SUMIFS(E$20:E$901,$C$20:$C$901,P51,$B$20:$B$901,"Expense")+SUMIFS(F$20:F$901,$C$20:$C$901,P51,$B$20:$B$901,"Expense")+SUMIFS(G$20:G$901,$C$20:$C$901,P51,$B$20:$B$901,"Expense")+SUMIFS(H$20:H$901,$C$20:$C$901,P51,$B$20:$B$901,"Expense")+SUMIFS(I$20:I$901,$C$20:$C$901,P51,$B$20:$B$901,"Expense")+SUMIFS(J$20:J$901,$C$20:$C$901,P51,$B$20:$B$901,"Expense")+SUMIFS(K$20:K$901,$C$20:$C$901,P51,$B$20:$B$901,"Expense")+SUMIFS(L$20:L$901,$C$20:$C$901,P51,$B$20:$B$901,"Expense")+SUMIFS(M$20:M$901,$C$20:$C$901,P51,$B$20:$B$901,"Expense")+SUMIFS(N$20:N$901,$C$20:$C$901,P51,$B$20:$B$901,"Expense")))</f>
      </c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3">
        <f>TEXT(DATE($R$1,($R$2-1)*3+2,1),"mmmm")</f>
      </c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3">
        <f>TEXT(DATE($R$1,($R$2-1)*3+3,1),"mmmm")</f>
      </c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</sheetData>
  <dataValidations count="2">
    <dataValidation type="list" allowBlank="1" sqref="B20:B901">
      <formula1>"Income,Expense,Transfer,Recalibrate"</formula1>
    </dataValidation>
    <dataValidation type="list" allowBlank="1" sqref="C20:C901">
      <formula1>$P$2:$P$51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"/>
  <sheetFormatPr defaultRowHeight="15" outlineLevelRow="0" outlineLevelCol="0" x14ac:dyDescent="55"/>
  <cols>
    <col min="2" max="2" width="20" customWidth="1"/>
  </cols>
  <sheetData>
    <row r="2" spans="2:2" x14ac:dyDescent="0.25">
      <c r="B2" t="s">
        <v>27</v>
      </c>
    </row>
    <row r="5" spans="2:3" s="1" customFormat="1" x14ac:dyDescent="0.25">
      <c r="B5" s="1" t="s">
        <v>4</v>
      </c>
      <c r="C5" s="1" t="s">
        <v>28</v>
      </c>
    </row>
    <row r="6" spans="2:3" x14ac:dyDescent="0.25">
      <c r="B6" t="s">
        <v>7</v>
      </c>
      <c r="C6">
        <v>6000</v>
      </c>
    </row>
    <row r="7" spans="2:3" x14ac:dyDescent="0.25">
      <c r="B7" t="s">
        <v>9</v>
      </c>
      <c r="C7">
        <v>1000</v>
      </c>
    </row>
    <row r="8" spans="2:3" x14ac:dyDescent="0.25">
      <c r="B8" t="s">
        <v>10</v>
      </c>
      <c r="C8">
        <v>1500</v>
      </c>
    </row>
    <row r="9" spans="2:3" x14ac:dyDescent="0.25">
      <c r="B9" t="s">
        <v>11</v>
      </c>
      <c r="C9">
        <v>2000</v>
      </c>
    </row>
    <row r="10" spans="2:3" x14ac:dyDescent="0.25">
      <c r="B10" t="s">
        <v>12</v>
      </c>
      <c r="C10">
        <v>2000</v>
      </c>
    </row>
    <row r="11" spans="2:3" x14ac:dyDescent="0.25">
      <c r="B11" t="s">
        <v>13</v>
      </c>
      <c r="C11">
        <v>500</v>
      </c>
    </row>
    <row r="12" spans="2:3" x14ac:dyDescent="0.25">
      <c r="B12" t="s">
        <v>14</v>
      </c>
      <c r="C12">
        <v>1000</v>
      </c>
    </row>
    <row r="13" spans="2:3" x14ac:dyDescent="0.25">
      <c r="B13" t="s">
        <v>15</v>
      </c>
      <c r="C13">
        <v>1000</v>
      </c>
    </row>
    <row r="14" spans="2:3" x14ac:dyDescent="0.25">
      <c r="B14" t="s">
        <v>16</v>
      </c>
      <c r="C14">
        <v>1000</v>
      </c>
    </row>
    <row r="15" spans="2:2" x14ac:dyDescent="0.25">
      <c r="B1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25">
      <c r="A2" t="s">
        <v>35</v>
      </c>
      <c r="B2" t="s">
        <v>22</v>
      </c>
      <c r="C2" t="s">
        <v>36</v>
      </c>
      <c r="D2" t="s">
        <v>37</v>
      </c>
      <c r="E2" t="s">
        <v>37</v>
      </c>
      <c r="F2" t="s">
        <v>38</v>
      </c>
    </row>
    <row r="3" spans="1:6" x14ac:dyDescent="0.25">
      <c r="A3" t="s">
        <v>39</v>
      </c>
      <c r="B3" t="s">
        <v>23</v>
      </c>
      <c r="C3" t="s">
        <v>37</v>
      </c>
      <c r="D3" t="s">
        <v>37</v>
      </c>
      <c r="E3" t="s">
        <v>37</v>
      </c>
      <c r="F3" t="s">
        <v>37</v>
      </c>
    </row>
    <row r="4" spans="1:6" x14ac:dyDescent="0.25">
      <c r="A4" t="s">
        <v>40</v>
      </c>
      <c r="B4" t="s">
        <v>24</v>
      </c>
      <c r="C4" t="s">
        <v>37</v>
      </c>
      <c r="D4" t="s">
        <v>37</v>
      </c>
      <c r="E4" t="s">
        <v>37</v>
      </c>
      <c r="F4" t="s">
        <v>41</v>
      </c>
    </row>
    <row r="5" spans="1:6" x14ac:dyDescent="0.25">
      <c r="A5" t="s">
        <v>42</v>
      </c>
      <c r="B5" t="s">
        <v>25</v>
      </c>
      <c r="C5" t="s">
        <v>37</v>
      </c>
      <c r="D5" t="s">
        <v>37</v>
      </c>
      <c r="E5" t="s">
        <v>37</v>
      </c>
      <c r="F5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spans="1:1" x14ac:dyDescent="0.25">
      <c r="A1" t="s">
        <v>43</v>
      </c>
    </row>
    <row r="2" spans="1:1" x14ac:dyDescent="0.25">
      <c r="A2" t="s">
        <v>37</v>
      </c>
    </row>
    <row r="3" spans="1:1" x14ac:dyDescent="0.25">
      <c r="A3" t="s">
        <v>44</v>
      </c>
    </row>
    <row r="4" spans="1:1" x14ac:dyDescent="0.25">
      <c r="A4" t="s">
        <v>45</v>
      </c>
    </row>
    <row r="5" spans="1:1" x14ac:dyDescent="0.25">
      <c r="A5" t="s">
        <v>46</v>
      </c>
    </row>
    <row r="6" spans="1:1" x14ac:dyDescent="0.25">
      <c r="A6" t="s">
        <v>47</v>
      </c>
    </row>
    <row r="7" spans="1:1" x14ac:dyDescent="0.25">
      <c r="A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_Template</vt:lpstr>
      <vt:lpstr>Budget</vt:lpstr>
      <vt:lpstr>_Config</vt:lpstr>
      <vt:lpstr>_ReadMe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2026-10-15T05:05:15Z</dcterms:created>
  <dcterms:modified xsi:type="dcterms:W3CDTF">2026-10-15T05:05:15Z</dcterms:modified>
</cp:coreProperties>
</file>